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55CBE76-60F1-4C68-8A69-B936C3B7DAB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Combos y precios" sheetId="1" r:id="rId1"/>
    <sheet name="Cupos y recaudación" sheetId="2" r:id="rId2"/>
  </sheets>
  <definedNames>
    <definedName name="_xlnm.Print_Area" localSheetId="0">'Combos y precios'!$A$1:$H$32</definedName>
    <definedName name="_xlnm.Print_Area" localSheetId="1">'Cupos y recaudación'!$A$1:$H$32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2" l="1"/>
  <c r="C23" i="2" s="1"/>
  <c r="C4" i="2"/>
  <c r="F17" i="2" s="1"/>
  <c r="F21" i="1"/>
  <c r="E21" i="1"/>
  <c r="G18" i="1"/>
  <c r="F18" i="1"/>
  <c r="E18" i="1"/>
  <c r="E17" i="1"/>
  <c r="G17" i="1" s="1"/>
  <c r="E16" i="1"/>
  <c r="G16" i="1" s="1"/>
  <c r="G12" i="1"/>
  <c r="E12" i="1"/>
  <c r="F12" i="1" s="1"/>
  <c r="E11" i="1"/>
  <c r="F11" i="1" s="1"/>
  <c r="E10" i="1"/>
  <c r="G10" i="1" s="1"/>
  <c r="E9" i="1"/>
  <c r="G9" i="1" s="1"/>
  <c r="E8" i="1"/>
  <c r="F8" i="1" s="1"/>
  <c r="G8" i="1" l="1"/>
  <c r="G11" i="1"/>
  <c r="F24" i="2"/>
  <c r="F18" i="2"/>
  <c r="F8" i="2"/>
  <c r="F28" i="2"/>
  <c r="F11" i="2"/>
  <c r="F10" i="1"/>
  <c r="F17" i="1"/>
  <c r="F9" i="1"/>
  <c r="F16" i="1"/>
  <c r="F9" i="2"/>
  <c r="F16" i="2"/>
  <c r="F19" i="2" s="1"/>
  <c r="F10" i="2"/>
  <c r="F12" i="2" l="1"/>
  <c r="F27" i="2" s="1"/>
  <c r="F29" i="2" s="1"/>
</calcChain>
</file>

<file path=xl/sharedStrings.xml><?xml version="1.0" encoding="utf-8"?>
<sst xmlns="http://schemas.openxmlformats.org/spreadsheetml/2006/main" count="73" uniqueCount="54">
  <si>
    <t>Festival de Teatro — Sistema de entradas</t>
  </si>
  <si>
    <t>Precio base entrada:</t>
  </si>
  <si>
    <t>← modificar este valor</t>
  </si>
  <si>
    <t>COMBOS POR BLOQUE — Mayor descuento, bloque completo</t>
  </si>
  <si>
    <t>Combo</t>
  </si>
  <si>
    <t>Entradas</t>
  </si>
  <si>
    <t>Descuento</t>
  </si>
  <si>
    <t>Precio total</t>
  </si>
  <si>
    <t>Precio c/u</t>
  </si>
  <si>
    <t>Ahorro</t>
  </si>
  <si>
    <t>Combo sábado (1 sáb)</t>
  </si>
  <si>
    <t>Combo domingo (1 dom)</t>
  </si>
  <si>
    <t>Combo viernes (2 viernes)</t>
  </si>
  <si>
    <t>Combo fin de semana</t>
  </si>
  <si>
    <t>Combo festival completo</t>
  </si>
  <si>
    <t>PROMOS PROGRESIVAS — Funciones a elección</t>
  </si>
  <si>
    <t>2da al 50%</t>
  </si>
  <si>
    <t>3x2</t>
  </si>
  <si>
    <t>4x2</t>
  </si>
  <si>
    <t>REFERENCIA — Entrada individual</t>
  </si>
  <si>
    <t>Entrada individual</t>
  </si>
  <si>
    <t>-</t>
  </si>
  <si>
    <t>Cupos y simulación de recaudación</t>
  </si>
  <si>
    <t>Precio base (de hoja 1):</t>
  </si>
  <si>
    <t>Capacidad sala:</t>
  </si>
  <si>
    <t>CUPOS — Combos por bloque</t>
  </si>
  <si>
    <t>Cupo</t>
  </si>
  <si>
    <t>Entradas/combo</t>
  </si>
  <si>
    <t>Recaudación total</t>
  </si>
  <si>
    <t>Butacas que ocupa/función</t>
  </si>
  <si>
    <t>Combo total (10 func.)</t>
  </si>
  <si>
    <t>todas</t>
  </si>
  <si>
    <t>Combo finde (5 func.)</t>
  </si>
  <si>
    <t>5 del finde</t>
  </si>
  <si>
    <t>Combo día sáb/dom (2 func.)</t>
  </si>
  <si>
    <t>2 del día</t>
  </si>
  <si>
    <t>Combo viernes (2 func.)</t>
  </si>
  <si>
    <t>2 viernes</t>
  </si>
  <si>
    <t>Subtotal combos bloque</t>
  </si>
  <si>
    <t>CUPOS — Promos progresivas</t>
  </si>
  <si>
    <t>a elección</t>
  </si>
  <si>
    <t>Subtotal promos progresivas</t>
  </si>
  <si>
    <t>ESTIMACIÓN — Venta individual (butacas restantes)</t>
  </si>
  <si>
    <t>Butacas combo/func. (peor caso sáb/dom)</t>
  </si>
  <si>
    <t>butacas ocupadas</t>
  </si>
  <si>
    <t>Butacas libres/función (promedio)</t>
  </si>
  <si>
    <t>butacas libres</t>
  </si>
  <si>
    <t>Recaudación individual estimada</t>
  </si>
  <si>
    <t>si se llenan todas</t>
  </si>
  <si>
    <t>RESUMEN DE RECAUDACIÓN</t>
  </si>
  <si>
    <t>Recaudación total estimada</t>
  </si>
  <si>
    <t>Recaudación máxima (todo individual)</t>
  </si>
  <si>
    <t>% de recaudación vs. máximo</t>
  </si>
  <si>
    <t>Los cupos en azul se pueden modificar. Los cálculos se actualizan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</si>
</sst>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7" x14ac:knownFonts="1">
    <font>
      <sz val="11"/>
      <color theme="1"/>
      <name val="Calibri"/>
      <family val="2"/>
      <charset val="1"/>
    </font>
    <font>
      <b/>
      <sz val="16"/>
      <color rgb="FF2C2C2A"/>
      <name val="Arial"/>
      <charset val="1"/>
    </font>
    <font>
      <b/>
      <sz val="10"/>
      <color rgb="FF2C2C2A"/>
      <name val="Arial"/>
      <charset val="1"/>
    </font>
    <font>
      <b/>
      <sz val="10"/>
      <color rgb="FF0000FF"/>
      <name val="Arial"/>
      <charset val="1"/>
    </font>
    <font>
      <i/>
      <sz val="9"/>
      <color rgb="FF888780"/>
      <name val="Arial"/>
      <charset val="1"/>
    </font>
    <font>
      <b/>
      <sz val="12"/>
      <color rgb="FFFFFFFF"/>
      <name val="Arial"/>
      <charset val="1"/>
    </font>
    <font>
      <sz val="10"/>
      <color rgb="FF2C2C2A"/>
      <name val="Arial"/>
      <charset val="1"/>
    </font>
    <font>
      <b/>
      <sz val="10"/>
      <color rgb="FF0F6E56"/>
      <name val="Arial"/>
      <charset val="1"/>
    </font>
    <font>
      <sz val="10"/>
      <color rgb="FF0F6E56"/>
      <name val="Arial"/>
      <charset val="1"/>
    </font>
    <font>
      <b/>
      <sz val="10"/>
      <color rgb="FF534AB7"/>
      <name val="Arial"/>
      <charset val="1"/>
    </font>
    <font>
      <sz val="10"/>
      <color rgb="FF534AB7"/>
      <name val="Arial"/>
      <charset val="1"/>
    </font>
    <font>
      <b/>
      <sz val="11"/>
      <color rgb="FF0F6E56"/>
      <name val="Arial"/>
      <charset val="1"/>
    </font>
    <font>
      <b/>
      <sz val="11"/>
      <color rgb="FF534AB7"/>
      <name val="Arial"/>
      <charset val="1"/>
    </font>
    <font>
      <b/>
      <sz val="11"/>
      <color rgb="FF854F0B"/>
      <name val="Arial"/>
      <charset val="1"/>
    </font>
    <font>
      <b/>
      <sz val="11"/>
      <name val="Arial"/>
      <charset val="1"/>
    </font>
    <font>
      <b/>
      <sz val="14"/>
      <color rgb="FF2C2C2A"/>
      <name val="Arial"/>
      <charset val="1"/>
    </font>
    <font>
      <b/>
      <sz val="12"/>
      <color rgb="FF2C2C2A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0"/>
        <bgColor rgb="FFFFFFFF"/>
      </patternFill>
    </fill>
    <fill>
      <patternFill patternType="solid">
        <fgColor rgb="FF0F6E56"/>
        <bgColor rgb="FF008080"/>
      </patternFill>
    </fill>
    <fill>
      <patternFill patternType="solid">
        <fgColor rgb="FFF1EFE8"/>
        <bgColor rgb="FFFAEEDA"/>
      </patternFill>
    </fill>
    <fill>
      <patternFill patternType="solid">
        <fgColor rgb="FFE1F5EE"/>
        <bgColor rgb="FFF1EFE8"/>
      </patternFill>
    </fill>
    <fill>
      <patternFill patternType="solid">
        <fgColor rgb="FF534AB7"/>
        <bgColor rgb="FF333399"/>
      </patternFill>
    </fill>
    <fill>
      <patternFill patternType="solid">
        <fgColor rgb="FFEEEDFE"/>
        <bgColor rgb="FFF1EFE8"/>
      </patternFill>
    </fill>
    <fill>
      <patternFill patternType="solid">
        <fgColor rgb="FF854F0B"/>
        <bgColor rgb="FF808000"/>
      </patternFill>
    </fill>
    <fill>
      <patternFill patternType="solid">
        <fgColor rgb="FFFAEEDA"/>
        <bgColor rgb="FFF1EFE8"/>
      </patternFill>
    </fill>
    <fill>
      <patternFill patternType="solid">
        <fgColor rgb="FF2C2C2A"/>
        <bgColor rgb="FF333300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0" xfId="0" applyFont="1"/>
    <xf numFmtId="0" fontId="5" fillId="10" borderId="0" xfId="0" applyFont="1" applyFill="1"/>
    <xf numFmtId="0" fontId="5" fillId="8" borderId="0" xfId="0" applyFont="1" applyFill="1"/>
    <xf numFmtId="0" fontId="5" fillId="6" borderId="0" xfId="0" applyFont="1" applyFill="1"/>
    <xf numFmtId="0" fontId="5" fillId="3" borderId="0" xfId="0" applyFont="1" applyFill="1"/>
    <xf numFmtId="0" fontId="5" fillId="8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" fillId="0" borderId="0" xfId="0" applyFont="1"/>
    <xf numFmtId="0" fontId="2" fillId="0" borderId="0" xfId="0" applyFont="1"/>
    <xf numFmtId="164" fontId="3" fillId="2" borderId="1" xfId="0" applyNumberFormat="1" applyFont="1" applyFill="1" applyBorder="1"/>
    <xf numFmtId="0" fontId="4" fillId="0" borderId="0" xfId="0" applyFont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center" vertical="center"/>
    </xf>
    <xf numFmtId="9" fontId="7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/>
    <xf numFmtId="0" fontId="6" fillId="7" borderId="1" xfId="0" applyFont="1" applyFill="1" applyBorder="1" applyAlignment="1">
      <alignment horizontal="center" vertical="center"/>
    </xf>
    <xf numFmtId="9" fontId="9" fillId="7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right" vertical="center"/>
    </xf>
    <xf numFmtId="164" fontId="10" fillId="7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/>
    <xf numFmtId="0" fontId="6" fillId="9" borderId="1" xfId="0" applyFont="1" applyFill="1" applyBorder="1" applyAlignment="1">
      <alignment horizontal="center" vertical="center"/>
    </xf>
    <xf numFmtId="9" fontId="6" fillId="9" borderId="1" xfId="0" applyNumberFormat="1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right" vertical="center"/>
    </xf>
    <xf numFmtId="164" fontId="3" fillId="0" borderId="0" xfId="0" applyNumberFormat="1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0" borderId="0" xfId="0" applyFont="1"/>
    <xf numFmtId="164" fontId="11" fillId="0" borderId="0" xfId="0" applyNumberFormat="1" applyFont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9" fillId="0" borderId="0" xfId="0" applyFont="1"/>
    <xf numFmtId="164" fontId="12" fillId="0" borderId="0" xfId="0" applyNumberFormat="1" applyFont="1" applyAlignment="1">
      <alignment horizontal="right" vertical="center"/>
    </xf>
    <xf numFmtId="0" fontId="4" fillId="9" borderId="0" xfId="0" applyFont="1" applyFill="1"/>
    <xf numFmtId="0" fontId="13" fillId="9" borderId="1" xfId="0" applyFont="1" applyFill="1" applyBorder="1" applyAlignment="1">
      <alignment horizontal="center" vertical="center"/>
    </xf>
    <xf numFmtId="164" fontId="13" fillId="9" borderId="1" xfId="0" applyNumberFormat="1" applyFont="1" applyFill="1" applyBorder="1" applyAlignment="1">
      <alignment horizontal="right" vertical="center"/>
    </xf>
    <xf numFmtId="0" fontId="14" fillId="0" borderId="0" xfId="0" applyFont="1"/>
    <xf numFmtId="164" fontId="15" fillId="0" borderId="0" xfId="0" applyNumberFormat="1" applyFont="1" applyAlignment="1">
      <alignment horizontal="right" vertical="center"/>
    </xf>
    <xf numFmtId="0" fontId="6" fillId="4" borderId="0" xfId="0" applyFont="1" applyFill="1"/>
    <xf numFmtId="164" fontId="6" fillId="4" borderId="0" xfId="0" applyNumberFormat="1" applyFont="1" applyFill="1" applyAlignment="1">
      <alignment horizontal="right" vertical="center"/>
    </xf>
    <xf numFmtId="0" fontId="6" fillId="0" borderId="0" xfId="0" applyFont="1"/>
    <xf numFmtId="9" fontId="16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D3D1C7"/>
      <rgbColor rgb="FF888780"/>
      <rgbColor rgb="FF9999FF"/>
      <rgbColor rgb="FF993366"/>
      <rgbColor rgb="FFFFFFF0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F1EFE8"/>
      <rgbColor rgb="FFFAEE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4AB7"/>
      <rgbColor rgb="FF969696"/>
      <rgbColor rgb="FF003366"/>
      <rgbColor rgb="FF339966"/>
      <rgbColor rgb="FF003300"/>
      <rgbColor rgb="FF333300"/>
      <rgbColor rgb="FF854F0B"/>
      <rgbColor rgb="FF993366"/>
      <rgbColor rgb="FF33339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6E56"/>
  </sheetPr>
  <dimension ref="B2:G21"/>
  <sheetViews>
    <sheetView showGridLines="0" tabSelected="1" zoomScaleNormal="100" workbookViewId="0">
      <selection activeCell="C5" sqref="C5"/>
    </sheetView>
  </sheetViews>
  <sheetFormatPr baseColWidth="10" defaultColWidth="8.6640625" defaultRowHeight="14.4" x14ac:dyDescent="0.3"/>
  <cols>
    <col min="1" max="1" width="4" customWidth="1"/>
    <col min="2" max="2" width="28" customWidth="1"/>
    <col min="3" max="3" width="12" customWidth="1"/>
    <col min="4" max="4" width="14" customWidth="1"/>
    <col min="5" max="7" width="16" customWidth="1"/>
    <col min="8" max="8" width="4" customWidth="1"/>
  </cols>
  <sheetData>
    <row r="2" spans="2:7" ht="21" x14ac:dyDescent="0.4">
      <c r="B2" s="9" t="s">
        <v>0</v>
      </c>
      <c r="C2" s="9"/>
      <c r="D2" s="9"/>
      <c r="E2" s="9"/>
      <c r="F2" s="9"/>
      <c r="G2" s="9"/>
    </row>
    <row r="4" spans="2:7" x14ac:dyDescent="0.3">
      <c r="B4" s="10" t="s">
        <v>1</v>
      </c>
      <c r="C4" s="11">
        <v>20000</v>
      </c>
      <c r="D4" s="12" t="s">
        <v>2</v>
      </c>
    </row>
    <row r="6" spans="2:7" ht="15.6" x14ac:dyDescent="0.3">
      <c r="B6" s="8" t="s">
        <v>3</v>
      </c>
      <c r="C6" s="8"/>
      <c r="D6" s="8"/>
      <c r="E6" s="8"/>
      <c r="F6" s="8"/>
      <c r="G6" s="8"/>
    </row>
    <row r="7" spans="2:7" x14ac:dyDescent="0.3">
      <c r="B7" s="13" t="s">
        <v>4</v>
      </c>
      <c r="C7" s="14" t="s">
        <v>5</v>
      </c>
      <c r="D7" s="14" t="s">
        <v>6</v>
      </c>
      <c r="E7" s="14" t="s">
        <v>7</v>
      </c>
      <c r="F7" s="14" t="s">
        <v>8</v>
      </c>
      <c r="G7" s="14" t="s">
        <v>9</v>
      </c>
    </row>
    <row r="8" spans="2:7" x14ac:dyDescent="0.3">
      <c r="B8" s="15" t="s">
        <v>10</v>
      </c>
      <c r="C8" s="16">
        <v>2</v>
      </c>
      <c r="D8" s="17">
        <v>0.3</v>
      </c>
      <c r="E8" s="18">
        <f>C8*$C$4*(1-D8)</f>
        <v>28000</v>
      </c>
      <c r="F8" s="18">
        <f>E8/C8</f>
        <v>14000</v>
      </c>
      <c r="G8" s="19">
        <f>C8*$C$4-E8</f>
        <v>12000</v>
      </c>
    </row>
    <row r="9" spans="2:7" x14ac:dyDescent="0.3">
      <c r="B9" s="15" t="s">
        <v>11</v>
      </c>
      <c r="C9" s="16">
        <v>2</v>
      </c>
      <c r="D9" s="17">
        <v>0.3</v>
      </c>
      <c r="E9" s="18">
        <f>C9*$C$4*(1-D9)</f>
        <v>28000</v>
      </c>
      <c r="F9" s="18">
        <f>E9/C9</f>
        <v>14000</v>
      </c>
      <c r="G9" s="19">
        <f>C9*$C$4-E9</f>
        <v>12000</v>
      </c>
    </row>
    <row r="10" spans="2:7" x14ac:dyDescent="0.3">
      <c r="B10" s="15" t="s">
        <v>12</v>
      </c>
      <c r="C10" s="16">
        <v>2</v>
      </c>
      <c r="D10" s="17">
        <v>0.3</v>
      </c>
      <c r="E10" s="18">
        <f>C10*$C$4*(1-D10)</f>
        <v>28000</v>
      </c>
      <c r="F10" s="18">
        <f>E10/C10</f>
        <v>14000</v>
      </c>
      <c r="G10" s="19">
        <f>C10*$C$4-E10</f>
        <v>12000</v>
      </c>
    </row>
    <row r="11" spans="2:7" x14ac:dyDescent="0.3">
      <c r="B11" s="15" t="s">
        <v>13</v>
      </c>
      <c r="C11" s="16">
        <v>5</v>
      </c>
      <c r="D11" s="17">
        <v>0.55000000000000004</v>
      </c>
      <c r="E11" s="18">
        <f>C11*$C$4*(1-D11)</f>
        <v>44999.999999999993</v>
      </c>
      <c r="F11" s="18">
        <f>E11/C11</f>
        <v>8999.9999999999982</v>
      </c>
      <c r="G11" s="19">
        <f>C11*$C$4-E11</f>
        <v>55000.000000000007</v>
      </c>
    </row>
    <row r="12" spans="2:7" x14ac:dyDescent="0.3">
      <c r="B12" s="15" t="s">
        <v>14</v>
      </c>
      <c r="C12" s="16">
        <v>10</v>
      </c>
      <c r="D12" s="17">
        <v>0.65</v>
      </c>
      <c r="E12" s="18">
        <f>C12*$C$4*(1-D12)</f>
        <v>70000</v>
      </c>
      <c r="F12" s="18">
        <f>E12/C12</f>
        <v>7000</v>
      </c>
      <c r="G12" s="19">
        <f>C12*$C$4-E12</f>
        <v>130000</v>
      </c>
    </row>
    <row r="14" spans="2:7" ht="15.6" x14ac:dyDescent="0.3">
      <c r="B14" s="7" t="s">
        <v>15</v>
      </c>
      <c r="C14" s="7"/>
      <c r="D14" s="7"/>
      <c r="E14" s="7"/>
      <c r="F14" s="7"/>
      <c r="G14" s="7"/>
    </row>
    <row r="15" spans="2:7" x14ac:dyDescent="0.3">
      <c r="B15" s="13" t="s">
        <v>4</v>
      </c>
      <c r="C15" s="14" t="s">
        <v>5</v>
      </c>
      <c r="D15" s="14" t="s">
        <v>6</v>
      </c>
      <c r="E15" s="14" t="s">
        <v>7</v>
      </c>
      <c r="F15" s="14" t="s">
        <v>8</v>
      </c>
      <c r="G15" s="14" t="s">
        <v>9</v>
      </c>
    </row>
    <row r="16" spans="2:7" x14ac:dyDescent="0.3">
      <c r="B16" s="20" t="s">
        <v>16</v>
      </c>
      <c r="C16" s="21">
        <v>2</v>
      </c>
      <c r="D16" s="22">
        <v>0.25</v>
      </c>
      <c r="E16" s="23">
        <f>C16*$C$4*(1-D16)</f>
        <v>30000</v>
      </c>
      <c r="F16" s="23">
        <f>E16/C16</f>
        <v>15000</v>
      </c>
      <c r="G16" s="24">
        <f>C16*$C$4-E16</f>
        <v>10000</v>
      </c>
    </row>
    <row r="17" spans="2:7" x14ac:dyDescent="0.3">
      <c r="B17" s="20" t="s">
        <v>17</v>
      </c>
      <c r="C17" s="21">
        <v>3</v>
      </c>
      <c r="D17" s="22">
        <v>0.33</v>
      </c>
      <c r="E17" s="23">
        <f>C17*$C$4*(1-D17)</f>
        <v>40199.999999999993</v>
      </c>
      <c r="F17" s="23">
        <f>E17/C17</f>
        <v>13399.999999999998</v>
      </c>
      <c r="G17" s="24">
        <f>C17*$C$4-E17</f>
        <v>19800.000000000007</v>
      </c>
    </row>
    <row r="18" spans="2:7" x14ac:dyDescent="0.3">
      <c r="B18" s="20" t="s">
        <v>18</v>
      </c>
      <c r="C18" s="21">
        <v>4</v>
      </c>
      <c r="D18" s="22">
        <v>0.5</v>
      </c>
      <c r="E18" s="23">
        <f>C18*$C$4*(1-D18)</f>
        <v>40000</v>
      </c>
      <c r="F18" s="23">
        <f>E18/C18</f>
        <v>10000</v>
      </c>
      <c r="G18" s="24">
        <f>C18*$C$4-E18</f>
        <v>40000</v>
      </c>
    </row>
    <row r="20" spans="2:7" ht="15.6" x14ac:dyDescent="0.3">
      <c r="B20" s="6" t="s">
        <v>19</v>
      </c>
      <c r="C20" s="6"/>
      <c r="D20" s="6"/>
      <c r="E20" s="6"/>
      <c r="F20" s="6"/>
      <c r="G20" s="6"/>
    </row>
    <row r="21" spans="2:7" x14ac:dyDescent="0.3">
      <c r="B21" s="25" t="s">
        <v>20</v>
      </c>
      <c r="C21" s="26">
        <v>1</v>
      </c>
      <c r="D21" s="27">
        <v>0</v>
      </c>
      <c r="E21" s="28">
        <f>$C$4</f>
        <v>20000</v>
      </c>
      <c r="F21" s="28">
        <f>$C$4</f>
        <v>20000</v>
      </c>
      <c r="G21" s="29" t="s">
        <v>21</v>
      </c>
    </row>
  </sheetData>
  <mergeCells count="4">
    <mergeCell ref="B2:G2"/>
    <mergeCell ref="B6:G6"/>
    <mergeCell ref="B14:G14"/>
    <mergeCell ref="B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34AB7"/>
  </sheetPr>
  <dimension ref="B2:G31"/>
  <sheetViews>
    <sheetView showGridLines="0" topLeftCell="A6" zoomScaleNormal="100" workbookViewId="0">
      <selection activeCell="C18" sqref="C18"/>
    </sheetView>
  </sheetViews>
  <sheetFormatPr baseColWidth="10" defaultColWidth="8.6640625" defaultRowHeight="14.4" x14ac:dyDescent="0.3"/>
  <cols>
    <col min="1" max="1" width="4" customWidth="1"/>
    <col min="2" max="2" width="28" customWidth="1"/>
    <col min="3" max="4" width="14" customWidth="1"/>
    <col min="5" max="7" width="16" customWidth="1"/>
    <col min="8" max="8" width="4" customWidth="1"/>
  </cols>
  <sheetData>
    <row r="2" spans="2:7" ht="21" x14ac:dyDescent="0.4">
      <c r="B2" s="9" t="s">
        <v>22</v>
      </c>
      <c r="C2" s="9"/>
      <c r="D2" s="9"/>
      <c r="E2" s="9"/>
      <c r="F2" s="9"/>
      <c r="G2" s="9"/>
    </row>
    <row r="4" spans="2:7" x14ac:dyDescent="0.3">
      <c r="B4" s="10" t="s">
        <v>23</v>
      </c>
      <c r="C4" s="30">
        <f>'Combos y precios'!C4</f>
        <v>20000</v>
      </c>
      <c r="D4" s="10" t="s">
        <v>24</v>
      </c>
      <c r="E4" s="31">
        <v>40</v>
      </c>
    </row>
    <row r="6" spans="2:7" ht="15.6" x14ac:dyDescent="0.3">
      <c r="B6" s="5" t="s">
        <v>25</v>
      </c>
      <c r="C6" s="5"/>
      <c r="D6" s="5"/>
      <c r="E6" s="5"/>
      <c r="F6" s="5"/>
      <c r="G6" s="5"/>
    </row>
    <row r="7" spans="2:7" x14ac:dyDescent="0.3">
      <c r="B7" s="13" t="s">
        <v>4</v>
      </c>
      <c r="C7" s="14" t="s">
        <v>26</v>
      </c>
      <c r="D7" s="14" t="s">
        <v>6</v>
      </c>
      <c r="E7" s="14" t="s">
        <v>27</v>
      </c>
      <c r="F7" s="14" t="s">
        <v>28</v>
      </c>
      <c r="G7" s="14" t="s">
        <v>29</v>
      </c>
    </row>
    <row r="8" spans="2:7" x14ac:dyDescent="0.3">
      <c r="B8" s="15" t="s">
        <v>30</v>
      </c>
      <c r="C8" s="32">
        <v>5</v>
      </c>
      <c r="D8" s="17">
        <v>0.65</v>
      </c>
      <c r="E8" s="16">
        <v>10</v>
      </c>
      <c r="F8" s="18">
        <f>C8*E8*$C$4*(1-D8)</f>
        <v>350000</v>
      </c>
      <c r="G8" s="33" t="s">
        <v>31</v>
      </c>
    </row>
    <row r="9" spans="2:7" x14ac:dyDescent="0.3">
      <c r="B9" s="15" t="s">
        <v>32</v>
      </c>
      <c r="C9" s="32">
        <v>4</v>
      </c>
      <c r="D9" s="17">
        <v>0.55000000000000004</v>
      </c>
      <c r="E9" s="16">
        <v>5</v>
      </c>
      <c r="F9" s="18">
        <f>C9*E9*$C$4*(1-D9)</f>
        <v>179999.99999999997</v>
      </c>
      <c r="G9" s="33" t="s">
        <v>33</v>
      </c>
    </row>
    <row r="10" spans="2:7" x14ac:dyDescent="0.3">
      <c r="B10" s="15" t="s">
        <v>34</v>
      </c>
      <c r="C10" s="32">
        <v>4</v>
      </c>
      <c r="D10" s="17">
        <v>0.3</v>
      </c>
      <c r="E10" s="16">
        <v>2</v>
      </c>
      <c r="F10" s="18">
        <f>C10*E10*$C$4*(1-D10)</f>
        <v>112000</v>
      </c>
      <c r="G10" s="33" t="s">
        <v>35</v>
      </c>
    </row>
    <row r="11" spans="2:7" x14ac:dyDescent="0.3">
      <c r="B11" s="15" t="s">
        <v>36</v>
      </c>
      <c r="C11" s="32">
        <v>2</v>
      </c>
      <c r="D11" s="17">
        <v>0.3</v>
      </c>
      <c r="E11" s="16">
        <v>2</v>
      </c>
      <c r="F11" s="18">
        <f>C11*E11*$C$4*(1-D11)</f>
        <v>56000</v>
      </c>
      <c r="G11" s="33" t="s">
        <v>37</v>
      </c>
    </row>
    <row r="12" spans="2:7" x14ac:dyDescent="0.3">
      <c r="B12" s="34" t="s">
        <v>38</v>
      </c>
      <c r="F12" s="35">
        <f>SUM(F8:F11)</f>
        <v>698000</v>
      </c>
    </row>
    <row r="14" spans="2:7" ht="15.6" x14ac:dyDescent="0.3">
      <c r="B14" s="4" t="s">
        <v>39</v>
      </c>
      <c r="C14" s="4"/>
      <c r="D14" s="4"/>
      <c r="E14" s="4"/>
      <c r="F14" s="4"/>
      <c r="G14" s="4"/>
    </row>
    <row r="15" spans="2:7" x14ac:dyDescent="0.3">
      <c r="B15" s="13" t="s">
        <v>4</v>
      </c>
      <c r="C15" s="14" t="s">
        <v>26</v>
      </c>
      <c r="D15" s="14" t="s">
        <v>6</v>
      </c>
      <c r="E15" s="14" t="s">
        <v>27</v>
      </c>
      <c r="F15" s="14" t="s">
        <v>28</v>
      </c>
      <c r="G15" s="14" t="s">
        <v>29</v>
      </c>
    </row>
    <row r="16" spans="2:7" x14ac:dyDescent="0.3">
      <c r="B16" s="20" t="s">
        <v>16</v>
      </c>
      <c r="C16" s="32">
        <v>10</v>
      </c>
      <c r="D16" s="22">
        <v>0.25</v>
      </c>
      <c r="E16" s="21">
        <v>2</v>
      </c>
      <c r="F16" s="23">
        <f>C16*E16*$C$4*(1-D16)</f>
        <v>300000</v>
      </c>
      <c r="G16" s="36" t="s">
        <v>40</v>
      </c>
    </row>
    <row r="17" spans="2:7" x14ac:dyDescent="0.3">
      <c r="B17" s="20" t="s">
        <v>17</v>
      </c>
      <c r="C17" s="32">
        <v>5</v>
      </c>
      <c r="D17" s="22">
        <v>0.33</v>
      </c>
      <c r="E17" s="21">
        <v>3</v>
      </c>
      <c r="F17" s="23">
        <f>C17*E17*$C$4*(1-D17)</f>
        <v>200999.99999999997</v>
      </c>
      <c r="G17" s="36" t="s">
        <v>40</v>
      </c>
    </row>
    <row r="18" spans="2:7" x14ac:dyDescent="0.3">
      <c r="B18" s="20" t="s">
        <v>18</v>
      </c>
      <c r="C18" s="32">
        <v>10</v>
      </c>
      <c r="D18" s="22">
        <v>0.5</v>
      </c>
      <c r="E18" s="21">
        <v>4</v>
      </c>
      <c r="F18" s="23">
        <f>C18*E18*$C$4*(1-D18)</f>
        <v>400000</v>
      </c>
      <c r="G18" s="36" t="s">
        <v>40</v>
      </c>
    </row>
    <row r="19" spans="2:7" x14ac:dyDescent="0.3">
      <c r="B19" s="37" t="s">
        <v>41</v>
      </c>
      <c r="F19" s="38">
        <f>SUM(F16:F18)</f>
        <v>901000</v>
      </c>
    </row>
    <row r="21" spans="2:7" ht="15.6" x14ac:dyDescent="0.3">
      <c r="B21" s="3" t="s">
        <v>42</v>
      </c>
      <c r="C21" s="3"/>
      <c r="D21" s="3"/>
      <c r="E21" s="3"/>
      <c r="F21" s="3"/>
      <c r="G21" s="3"/>
    </row>
    <row r="22" spans="2:7" x14ac:dyDescent="0.3">
      <c r="B22" s="25" t="s">
        <v>43</v>
      </c>
      <c r="C22" s="26">
        <f>C8+C9+C10+ROUND((C16*E16+C17*E17+C18*E18)/10,0)</f>
        <v>21</v>
      </c>
      <c r="D22" s="39" t="s">
        <v>44</v>
      </c>
    </row>
    <row r="23" spans="2:7" x14ac:dyDescent="0.3">
      <c r="B23" s="25" t="s">
        <v>45</v>
      </c>
      <c r="C23" s="40">
        <f>$E$4-C22</f>
        <v>19</v>
      </c>
      <c r="D23" s="39" t="s">
        <v>46</v>
      </c>
    </row>
    <row r="24" spans="2:7" x14ac:dyDescent="0.3">
      <c r="B24" s="25" t="s">
        <v>47</v>
      </c>
      <c r="F24" s="41">
        <f>C23*10*$C$4</f>
        <v>3800000</v>
      </c>
      <c r="G24" s="39" t="s">
        <v>48</v>
      </c>
    </row>
    <row r="26" spans="2:7" ht="15.6" x14ac:dyDescent="0.3">
      <c r="B26" s="2" t="s">
        <v>49</v>
      </c>
      <c r="C26" s="2"/>
      <c r="D26" s="2"/>
      <c r="E26" s="2"/>
      <c r="F26" s="2"/>
      <c r="G26" s="2"/>
    </row>
    <row r="27" spans="2:7" ht="17.399999999999999" x14ac:dyDescent="0.3">
      <c r="B27" s="42" t="s">
        <v>50</v>
      </c>
      <c r="F27" s="43">
        <f>F12+F19+F24</f>
        <v>5399000</v>
      </c>
    </row>
    <row r="28" spans="2:7" x14ac:dyDescent="0.3">
      <c r="B28" s="44" t="s">
        <v>51</v>
      </c>
      <c r="F28" s="45">
        <f>$E$4*10*$C$4</f>
        <v>8000000</v>
      </c>
    </row>
    <row r="29" spans="2:7" ht="15.6" x14ac:dyDescent="0.3">
      <c r="B29" s="46" t="s">
        <v>52</v>
      </c>
      <c r="F29" s="47">
        <f>F27/F28</f>
        <v>0.674875</v>
      </c>
    </row>
    <row r="31" spans="2:7" x14ac:dyDescent="0.3">
      <c r="B31" s="1" t="s">
        <v>53</v>
      </c>
      <c r="C31" s="1"/>
      <c r="D31" s="1"/>
      <c r="E31" s="1"/>
      <c r="F31" s="1"/>
      <c r="G31" s="1"/>
    </row>
  </sheetData>
  <mergeCells count="6">
    <mergeCell ref="B31:G31"/>
    <mergeCell ref="B2:G2"/>
    <mergeCell ref="B6:G6"/>
    <mergeCell ref="B14:G14"/>
    <mergeCell ref="B21:G21"/>
    <mergeCell ref="B26:G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Combos y precios</vt:lpstr>
      <vt:lpstr>Cupos y recaudación</vt:lpstr>
      <vt:lpstr>'Combos y precios'!Área_de_impresión</vt:lpstr>
      <vt:lpstr>'Cupos y recaudación'!Área_de_impresión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Alberto Albesa</cp:lastModifiedBy>
  <cp:revision>0</cp:revision>
  <dcterms:created xsi:type="dcterms:W3CDTF">2026-03-24T16:02:46Z</dcterms:created>
  <dcterms:modified xsi:type="dcterms:W3CDTF">2026-03-24T17:39:40Z</dcterms:modified>
  <dc:language>en-US</dc:language>
</cp:coreProperties>
</file>